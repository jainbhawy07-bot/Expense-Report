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Tracker" sheetId="1" r:id="rId4"/>
  </sheets>
  <definedNames/>
  <calcPr/>
</workbook>
</file>

<file path=xl/sharedStrings.xml><?xml version="1.0" encoding="utf-8"?>
<sst xmlns="http://schemas.openxmlformats.org/spreadsheetml/2006/main" count="60" uniqueCount="28">
  <si>
    <t>Expense Tracker Dashboard</t>
  </si>
  <si>
    <t>Date</t>
  </si>
  <si>
    <t>Category</t>
  </si>
  <si>
    <t>Description</t>
  </si>
  <si>
    <t>Amount</t>
  </si>
  <si>
    <t>Status</t>
  </si>
  <si>
    <t>Travel</t>
  </si>
  <si>
    <t>Flight to NYC</t>
  </si>
  <si>
    <t>Approved</t>
  </si>
  <si>
    <t>Meals</t>
  </si>
  <si>
    <t>Client Dinner</t>
  </si>
  <si>
    <t>Paid</t>
  </si>
  <si>
    <t>Software</t>
  </si>
  <si>
    <t>Supplies</t>
  </si>
  <si>
    <t>Office Stationery</t>
  </si>
  <si>
    <t>Pending</t>
  </si>
  <si>
    <t>Adobe Subscription</t>
  </si>
  <si>
    <t>Hotel Stay</t>
  </si>
  <si>
    <t>Lunch with Team</t>
  </si>
  <si>
    <t>Github Copilot</t>
  </si>
  <si>
    <t>Printer Ink</t>
  </si>
  <si>
    <t>Taxi to Airport</t>
  </si>
  <si>
    <t>Coffee</t>
  </si>
  <si>
    <t>AWS Hosting</t>
  </si>
  <si>
    <t>Notebooks</t>
  </si>
  <si>
    <t>Train Ticket</t>
  </si>
  <si>
    <t>Dinner</t>
  </si>
  <si>
    <t>Slack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</si>
</sst>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yyyy-mm-dd"/>
  </numFmts>
  <fonts count="5">
    <font>
      <sz val="10.0"/>
      <color rgb="FF000000"/>
      <name val="Arial"/>
    </font>
    <font>
      <sz val="10.0"/>
      <color rgb="FF191A1F"/>
      <name val="Roboto"/>
    </font>
    <font>
      <b/>
      <sz val="24.0"/>
      <color rgb="FF435E91"/>
      <name val="Montserrat"/>
    </font>
    <font>
      <sz val="10.0"/>
      <color rgb="FF191A1F"/>
      <name val="Montserrat"/>
    </font>
    <font>
      <b/>
      <color rgb="FFFFFF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66548E"/>
      </left>
      <right style="thin">
        <color rgb="FF66548E"/>
      </right>
      <top style="thin">
        <color rgb="FF66548E"/>
      </top>
      <bottom style="thin">
        <color rgb="FF66548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Border="1" applyFont="1"/>
    <xf borderId="0" fillId="0" fontId="1" numFmtId="164" xfId="0" applyFont="1" applyNumberFormat="1"/>
    <xf borderId="1" fillId="0" fontId="4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6548E"/>
          <bgColor rgb="FF66548E"/>
        </patternFill>
      </fill>
      <border/>
    </dxf>
    <dxf>
      <font/>
      <fill>
        <patternFill patternType="solid">
          <fgColor rgb="FFFDF6FF"/>
          <bgColor rgb="FFFDF6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Expense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1A1B1F"/>
                </a:solidFill>
                <a:latin typeface="Montserrat"/>
              </a:defRPr>
            </a:pPr>
            <a:r>
              <a:rPr b="0" sz="1400">
                <a:solidFill>
                  <a:srgbClr val="1A1B1F"/>
                </a:solidFill>
                <a:latin typeface="Montserrat"/>
              </a:rPr>
              <a:t>Expenses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'Expense Tracker'!$J$7:$J$12</c:f>
            </c:strRef>
          </c:cat>
          <c:val>
            <c:numRef>
              <c:f>'Expense Tracker'!$K$7:$K$12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  <c:spPr>
    <a:solidFill>
      <a:srgbClr val="F8F8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1A1B1F"/>
                </a:solidFill>
                <a:latin typeface="Montserrat"/>
              </a:defRPr>
            </a:pPr>
            <a:r>
              <a:rPr b="0" sz="1400">
                <a:solidFill>
                  <a:srgbClr val="1A1B1F"/>
                </a:solidFill>
                <a:latin typeface="Montserrat"/>
              </a:rPr>
              <a:t>Expenses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'Expense Tracker'!$J$14:$J$17</c:f>
            </c:strRef>
          </c:cat>
          <c:val>
            <c:numRef>
              <c:f>'Expense Tracker'!$K$14:$K$17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  <c:spPr>
    <a:solidFill>
      <a:srgbClr val="F8F8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190750" cy="857250"/>
    <xdr:pic>
      <xdr:nvPicPr>
        <xdr:cNvPr id="1633031039" name="Chart1" title="Total Expens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190750" cy="857250"/>
    <xdr:pic>
      <xdr:nvPicPr>
        <xdr:cNvPr id="1280384036" name="Chart2" title="Transaction Coun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810000" cy="2857500"/>
    <xdr:graphicFrame>
      <xdr:nvGraphicFramePr>
        <xdr:cNvPr id="3" name="Chart 3" title="Expenses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0</xdr:rowOff>
    </xdr:from>
    <xdr:ext cx="3810000" cy="2857500"/>
    <xdr:graphicFrame>
      <xdr:nvGraphicFramePr>
        <xdr:cNvPr id="4" name="Chart 4" title="Expenses by Statu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F22" displayName="Table_1" name="Table_1" id="1">
  <tableColumns count="5">
    <tableColumn name="Date" id="1"/>
    <tableColumn name="Category" id="2"/>
    <tableColumn name="Description" id="3"/>
    <tableColumn name="Amount" id="4"/>
    <tableColumn name="Status" id="5"/>
  </tableColumns>
  <tableStyleInfo name="Expense Tracke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6" width="15.13"/>
    <col hidden="1" min="8" max="11" width="12.6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7.5" customHeight="1">
      <c r="A4" s="1"/>
      <c r="B4" s="3"/>
      <c r="C4" s="3"/>
      <c r="D4" s="3"/>
      <c r="E4" s="3"/>
      <c r="F4" s="1"/>
      <c r="G4" s="1"/>
      <c r="H4" s="4">
        <f>SUM(E8:E1000)</f>
        <v>1538</v>
      </c>
      <c r="I4" s="1">
        <f>COUNTA(B8:B1000)</f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7.5" customHeight="1">
      <c r="A5" s="1"/>
      <c r="B5" s="3"/>
      <c r="C5" s="3"/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1"/>
      <c r="H7" s="1"/>
      <c r="I7" s="1"/>
      <c r="J7" s="1" t="str">
        <f>IFERROR(__xludf.DUMMYFUNCTION("QUERY(C8:E1000, ""select C, sum(E) where C is not null group by C label sum(E) 'Total'"")"),"#REF!")</f>
        <v>#REF!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customHeight="1">
      <c r="A8" s="1"/>
      <c r="B8" s="6">
        <v>46174.0</v>
      </c>
      <c r="C8" s="7" t="s">
        <v>6</v>
      </c>
      <c r="D8" s="7" t="s">
        <v>7</v>
      </c>
      <c r="E8" s="8">
        <v>450.0</v>
      </c>
      <c r="F8" s="7" t="s">
        <v>8</v>
      </c>
      <c r="G8" s="1"/>
      <c r="H8" s="1"/>
      <c r="I8" s="1"/>
      <c r="J8" s="9" t="s">
        <v>9</v>
      </c>
      <c r="K8" s="1">
        <f t="shared" ref="K8:K11" si="1">SUMIF($C$8:$C$22, J8, $E$8:$E$22)</f>
        <v>283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6.25" customHeight="1">
      <c r="A9" s="1"/>
      <c r="B9" s="6">
        <v>46175.0</v>
      </c>
      <c r="C9" s="7" t="s">
        <v>9</v>
      </c>
      <c r="D9" s="7" t="s">
        <v>10</v>
      </c>
      <c r="E9" s="8">
        <v>120.5</v>
      </c>
      <c r="F9" s="7" t="s">
        <v>11</v>
      </c>
      <c r="G9" s="1"/>
      <c r="H9" s="1"/>
      <c r="I9" s="1"/>
      <c r="J9" s="9" t="s">
        <v>12</v>
      </c>
      <c r="K9" s="1">
        <f t="shared" si="1"/>
        <v>230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1"/>
      <c r="B10" s="6">
        <v>46176.0</v>
      </c>
      <c r="C10" s="7" t="s">
        <v>13</v>
      </c>
      <c r="D10" s="7" t="s">
        <v>14</v>
      </c>
      <c r="E10" s="8">
        <v>45.0</v>
      </c>
      <c r="F10" s="7" t="s">
        <v>15</v>
      </c>
      <c r="G10" s="1"/>
      <c r="H10" s="1"/>
      <c r="I10" s="1"/>
      <c r="J10" s="9" t="s">
        <v>13</v>
      </c>
      <c r="K10" s="1">
        <f t="shared" si="1"/>
        <v>130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6.25" customHeight="1">
      <c r="A11" s="1"/>
      <c r="B11" s="6">
        <v>46177.0</v>
      </c>
      <c r="C11" s="7" t="s">
        <v>12</v>
      </c>
      <c r="D11" s="7" t="s">
        <v>16</v>
      </c>
      <c r="E11" s="8">
        <v>55.0</v>
      </c>
      <c r="F11" s="7" t="s">
        <v>8</v>
      </c>
      <c r="G11" s="1"/>
      <c r="H11" s="1"/>
      <c r="I11" s="1"/>
      <c r="J11" s="9" t="s">
        <v>6</v>
      </c>
      <c r="K11" s="1">
        <f t="shared" si="1"/>
        <v>895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6.25" customHeight="1">
      <c r="A12" s="1"/>
      <c r="B12" s="6">
        <v>46178.0</v>
      </c>
      <c r="C12" s="7" t="s">
        <v>6</v>
      </c>
      <c r="D12" s="7" t="s">
        <v>17</v>
      </c>
      <c r="E12" s="8">
        <v>320.0</v>
      </c>
      <c r="F12" s="7" t="s">
        <v>15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6.25" customHeight="1">
      <c r="A13" s="1"/>
      <c r="B13" s="6">
        <v>46179.0</v>
      </c>
      <c r="C13" s="7" t="s">
        <v>9</v>
      </c>
      <c r="D13" s="7" t="s">
        <v>18</v>
      </c>
      <c r="E13" s="8">
        <v>85.5</v>
      </c>
      <c r="F13" s="7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1"/>
      <c r="B14" s="6">
        <v>46180.0</v>
      </c>
      <c r="C14" s="7" t="s">
        <v>12</v>
      </c>
      <c r="D14" s="7" t="s">
        <v>19</v>
      </c>
      <c r="E14" s="8">
        <v>10.0</v>
      </c>
      <c r="F14" s="7" t="s">
        <v>8</v>
      </c>
      <c r="G14" s="1"/>
      <c r="H14" s="1"/>
      <c r="I14" s="1"/>
      <c r="J14" s="9" t="s">
        <v>5</v>
      </c>
      <c r="K14" s="9" t="s"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1"/>
      <c r="B15" s="6">
        <v>46181.0</v>
      </c>
      <c r="C15" s="7" t="s">
        <v>13</v>
      </c>
      <c r="D15" s="7" t="s">
        <v>20</v>
      </c>
      <c r="E15" s="8">
        <v>60.0</v>
      </c>
      <c r="F15" s="7" t="s">
        <v>11</v>
      </c>
      <c r="G15" s="1"/>
      <c r="H15" s="1"/>
      <c r="I15" s="1"/>
      <c r="J15" s="9" t="s">
        <v>8</v>
      </c>
      <c r="K15" s="1">
        <f t="shared" ref="K15:K17" si="2">SUMIF(F$8:F$22, J15, E$8:E$22)</f>
        <v>652.5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1"/>
      <c r="B16" s="6">
        <v>46182.0</v>
      </c>
      <c r="C16" s="7" t="s">
        <v>6</v>
      </c>
      <c r="D16" s="7" t="s">
        <v>21</v>
      </c>
      <c r="E16" s="8">
        <v>45.0</v>
      </c>
      <c r="F16" s="7" t="s">
        <v>15</v>
      </c>
      <c r="G16" s="1"/>
      <c r="H16" s="1"/>
      <c r="I16" s="1"/>
      <c r="J16" s="9" t="s">
        <v>11</v>
      </c>
      <c r="K16" s="1">
        <f t="shared" si="2"/>
        <v>395.5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customHeight="1">
      <c r="A17" s="1"/>
      <c r="B17" s="6">
        <v>46183.0</v>
      </c>
      <c r="C17" s="7" t="s">
        <v>9</v>
      </c>
      <c r="D17" s="7" t="s">
        <v>22</v>
      </c>
      <c r="E17" s="8">
        <v>12.0</v>
      </c>
      <c r="F17" s="7" t="s">
        <v>8</v>
      </c>
      <c r="G17" s="1"/>
      <c r="H17" s="1"/>
      <c r="I17" s="1"/>
      <c r="J17" s="9" t="s">
        <v>15</v>
      </c>
      <c r="K17" s="1">
        <f t="shared" si="2"/>
        <v>490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1"/>
      <c r="B18" s="6">
        <v>46184.0</v>
      </c>
      <c r="C18" s="7" t="s">
        <v>12</v>
      </c>
      <c r="D18" s="7" t="s">
        <v>23</v>
      </c>
      <c r="E18" s="8">
        <v>150.0</v>
      </c>
      <c r="F18" s="7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1"/>
      <c r="B19" s="6">
        <v>46185.0</v>
      </c>
      <c r="C19" s="7" t="s">
        <v>13</v>
      </c>
      <c r="D19" s="7" t="s">
        <v>24</v>
      </c>
      <c r="E19" s="8">
        <v>25.0</v>
      </c>
      <c r="F19" s="7" t="s">
        <v>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1"/>
      <c r="B20" s="6">
        <v>46186.0</v>
      </c>
      <c r="C20" s="7" t="s">
        <v>6</v>
      </c>
      <c r="D20" s="7" t="s">
        <v>25</v>
      </c>
      <c r="E20" s="8">
        <v>80.0</v>
      </c>
      <c r="F20" s="7" t="s">
        <v>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">
        <v>46187.0</v>
      </c>
      <c r="C21" s="7" t="s">
        <v>9</v>
      </c>
      <c r="D21" s="7" t="s">
        <v>26</v>
      </c>
      <c r="E21" s="8">
        <v>65.0</v>
      </c>
      <c r="F21" s="7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">
        <v>46188.0</v>
      </c>
      <c r="C22" s="7" t="s">
        <v>12</v>
      </c>
      <c r="D22" s="7" t="s">
        <v>27</v>
      </c>
      <c r="E22" s="8">
        <v>15.0</v>
      </c>
      <c r="F22" s="7" t="s">
        <v>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qref="F8:F22">
      <formula1>"Pending,Approved,Paid"</formula1>
    </dataValidation>
    <dataValidation type="list" allowBlank="1" sqref="C8:C22">
      <formula1>"Travel,Meals,Supplies,Software,Other"</formula1>
    </dataValidation>
  </dataValidations>
  <drawing r:id="rId1"/>
  <tableParts count="1">
    <tablePart r:id="rId3"/>
  </tableParts>
</worksheet>
</file>